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a6c273490cbda2/Documentos/"/>
    </mc:Choice>
  </mc:AlternateContent>
  <xr:revisionPtr revIDLastSave="0" documentId="8_{E7BAE026-5394-42FC-A70F-57DE7350ECA6}" xr6:coauthVersionLast="47" xr6:coauthVersionMax="47" xr10:uidLastSave="{00000000-0000-0000-0000-000000000000}"/>
  <bookViews>
    <workbookView xWindow="-110" yWindow="-110" windowWidth="19420" windowHeight="11500" xr2:uid="{C43F9721-87A5-42E9-AE70-9424AE5770C9}"/>
  </bookViews>
  <sheets>
    <sheet name="Planilha1" sheetId="1" r:id="rId1"/>
    <sheet name="Planilha2" sheetId="2" r:id="rId2"/>
  </sheets>
  <definedNames>
    <definedName name="aporte">Planilha1!$E$15</definedName>
    <definedName name="patrimonio">Planilha1!$E$18</definedName>
    <definedName name="qtd_anos">Planilha1!$E$16</definedName>
    <definedName name="rendimento_carteira">Planilha1!$E$11</definedName>
    <definedName name="salario">Planilha1!$E$10</definedName>
    <definedName name="sugestao_investimento">Planilha1!$E$12</definedName>
    <definedName name="taxa_mensal">Planilha1!$E$17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0" i="1" l="1"/>
  <c r="D34" i="1"/>
  <c r="D35" i="1"/>
  <c r="D36" i="1"/>
  <c r="D37" i="1"/>
  <c r="D38" i="1"/>
  <c r="D33" i="1"/>
  <c r="A4" i="2"/>
  <c r="A11" i="2"/>
  <c r="A12" i="2"/>
  <c r="A13" i="2"/>
  <c r="A14" i="2"/>
  <c r="A15" i="2"/>
  <c r="A16" i="2"/>
  <c r="A17" i="2"/>
  <c r="A18" i="2"/>
  <c r="A19" i="2"/>
  <c r="A20" i="2"/>
  <c r="A21" i="2"/>
  <c r="A10" i="2"/>
  <c r="A5" i="2"/>
  <c r="H6" i="2" s="1"/>
  <c r="A6" i="2"/>
  <c r="A7" i="2"/>
  <c r="A8" i="2"/>
  <c r="A9" i="2"/>
  <c r="E12" i="1"/>
  <c r="E18" i="1"/>
  <c r="E19" i="1" s="1"/>
  <c r="D23" i="1"/>
  <c r="E23" i="1" s="1"/>
  <c r="D24" i="1"/>
  <c r="E24" i="1" s="1"/>
  <c r="D25" i="1"/>
  <c r="E25" i="1" s="1"/>
  <c r="D26" i="1"/>
  <c r="E26" i="1" s="1"/>
  <c r="D22" i="1"/>
  <c r="E22" i="1" s="1"/>
  <c r="E35" i="1" l="1"/>
  <c r="E37" i="1"/>
  <c r="E33" i="1"/>
  <c r="E34" i="1"/>
  <c r="E36" i="1"/>
  <c r="E38" i="1"/>
  <c r="E39" i="1" l="1"/>
</calcChain>
</file>

<file path=xl/sharedStrings.xml><?xml version="1.0" encoding="utf-8"?>
<sst xmlns="http://schemas.openxmlformats.org/spreadsheetml/2006/main" count="72" uniqueCount="36">
  <si>
    <t>Património acumulado?</t>
  </si>
  <si>
    <t>Dividendo mensal?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</si>
  <si>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</si>
  <si>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</si>
  <si>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</si>
  <si>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</si>
  <si>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</si>
  <si>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</si>
  <si>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</si>
  <si>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</si>
  <si>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>Configurações</t>
  </si>
  <si>
    <t>Rendimento da Carteira</t>
  </si>
  <si>
    <t>Salário</t>
  </si>
  <si>
    <t>Quanto investir por mês?</t>
  </si>
  <si>
    <t>Por quantos anos?</t>
  </si>
  <si>
    <t>Taxa de rendimento mensal?</t>
  </si>
  <si>
    <t>Perfil</t>
  </si>
  <si>
    <t>Agressivo</t>
  </si>
  <si>
    <t>PERFIL</t>
  </si>
  <si>
    <t>VALOR A SER INVESTIDO POR MÊS</t>
  </si>
  <si>
    <t>TIPOS DE FII</t>
  </si>
  <si>
    <t>PAPEL</t>
  </si>
  <si>
    <t>TIJOLO</t>
  </si>
  <si>
    <t>HÍBRIDOS</t>
  </si>
  <si>
    <t>FOFs</t>
  </si>
  <si>
    <t>DESENVOLVIMENTO</t>
  </si>
  <si>
    <t>HOTELARIA</t>
  </si>
  <si>
    <t>Percentual Sugerido</t>
  </si>
  <si>
    <t>Conservado</t>
  </si>
  <si>
    <t>Valores</t>
  </si>
  <si>
    <t>TOTAL</t>
  </si>
  <si>
    <t>%</t>
  </si>
  <si>
    <t>Chave</t>
  </si>
  <si>
    <t>Moderado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</si>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</sst>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9" formatCode="&quot;R$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rgb="FF9C5700"/>
      <name val="Segoe UF"/>
    </font>
    <font>
      <sz val="20"/>
      <color theme="0"/>
      <name val="Segoe UF"/>
    </font>
    <font>
      <sz val="15"/>
      <color theme="0"/>
      <name val="Segoe UF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auto="1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auto="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auto="1"/>
      </left>
      <right style="thin">
        <color theme="0" tint="-4.9989318521683403E-2"/>
      </right>
      <top style="thin">
        <color theme="0" tint="-4.9989318521683403E-2"/>
      </top>
      <bottom style="medium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auto="1"/>
      </bottom>
      <diagonal/>
    </border>
    <border>
      <left style="thin">
        <color theme="0" tint="-4.9989318521683403E-2"/>
      </left>
      <right style="medium">
        <color auto="1"/>
      </right>
      <top style="thin">
        <color theme="0" tint="-4.9989318521683403E-2"/>
      </top>
      <bottom style="medium">
        <color auto="1"/>
      </bottom>
      <diagonal/>
    </border>
    <border>
      <left style="medium">
        <color auto="1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auto="1"/>
      </right>
      <top/>
      <bottom style="thin">
        <color theme="0" tint="-4.9989318521683403E-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0" fillId="0" borderId="2" xfId="0" applyBorder="1"/>
    <xf numFmtId="0" fontId="2" fillId="2" borderId="0" xfId="3"/>
    <xf numFmtId="9" fontId="0" fillId="0" borderId="0" xfId="2" applyFont="1"/>
    <xf numFmtId="0" fontId="0" fillId="0" borderId="0" xfId="0" applyBorder="1"/>
    <xf numFmtId="0" fontId="3" fillId="0" borderId="0" xfId="0" applyFont="1" applyBorder="1"/>
    <xf numFmtId="0" fontId="5" fillId="0" borderId="11" xfId="0" applyFont="1" applyBorder="1" applyAlignment="1">
      <alignment horizontal="left"/>
    </xf>
    <xf numFmtId="0" fontId="6" fillId="3" borderId="11" xfId="0" applyFont="1" applyFill="1" applyBorder="1" applyAlignment="1">
      <alignment horizontal="left"/>
    </xf>
    <xf numFmtId="8" fontId="3" fillId="3" borderId="11" xfId="0" applyNumberFormat="1" applyFont="1" applyFill="1" applyBorder="1" applyAlignment="1">
      <alignment horizontal="center"/>
    </xf>
    <xf numFmtId="0" fontId="5" fillId="0" borderId="12" xfId="0" applyFont="1" applyBorder="1" applyAlignment="1">
      <alignment horizontal="left"/>
    </xf>
    <xf numFmtId="0" fontId="6" fillId="3" borderId="12" xfId="0" applyFont="1" applyFill="1" applyBorder="1" applyAlignment="1">
      <alignment horizontal="left"/>
    </xf>
    <xf numFmtId="0" fontId="6" fillId="3" borderId="14" xfId="0" applyFont="1" applyFill="1" applyBorder="1" applyAlignment="1">
      <alignment horizontal="left"/>
    </xf>
    <xf numFmtId="0" fontId="6" fillId="3" borderId="15" xfId="0" applyFont="1" applyFill="1" applyBorder="1" applyAlignment="1">
      <alignment horizontal="left"/>
    </xf>
    <xf numFmtId="0" fontId="5" fillId="3" borderId="12" xfId="0" applyFont="1" applyFill="1" applyBorder="1"/>
    <xf numFmtId="0" fontId="0" fillId="0" borderId="6" xfId="0" applyBorder="1"/>
    <xf numFmtId="0" fontId="5" fillId="0" borderId="14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5" fillId="3" borderId="14" xfId="0" applyFont="1" applyFill="1" applyBorder="1"/>
    <xf numFmtId="8" fontId="3" fillId="3" borderId="15" xfId="0" applyNumberFormat="1" applyFont="1" applyFill="1" applyBorder="1" applyAlignment="1">
      <alignment horizontal="center"/>
    </xf>
    <xf numFmtId="0" fontId="5" fillId="0" borderId="17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5" fillId="3" borderId="17" xfId="0" applyFont="1" applyFill="1" applyBorder="1"/>
    <xf numFmtId="8" fontId="3" fillId="3" borderId="18" xfId="0" applyNumberFormat="1" applyFont="1" applyFill="1" applyBorder="1" applyAlignment="1">
      <alignment horizontal="center"/>
    </xf>
    <xf numFmtId="169" fontId="5" fillId="0" borderId="19" xfId="1" applyNumberFormat="1" applyFont="1" applyBorder="1" applyAlignment="1">
      <alignment horizontal="center"/>
    </xf>
    <xf numFmtId="10" fontId="5" fillId="0" borderId="13" xfId="2" applyNumberFormat="1" applyFont="1" applyBorder="1" applyAlignment="1">
      <alignment horizontal="center"/>
    </xf>
    <xf numFmtId="169" fontId="5" fillId="0" borderId="16" xfId="0" applyNumberFormat="1" applyFont="1" applyBorder="1" applyAlignment="1">
      <alignment horizontal="center"/>
    </xf>
    <xf numFmtId="169" fontId="6" fillId="0" borderId="19" xfId="1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0" fontId="6" fillId="0" borderId="13" xfId="2" applyNumberFormat="1" applyFont="1" applyBorder="1" applyAlignment="1">
      <alignment horizontal="center" vertical="center"/>
    </xf>
    <xf numFmtId="169" fontId="6" fillId="3" borderId="13" xfId="0" applyNumberFormat="1" applyFont="1" applyFill="1" applyBorder="1" applyAlignment="1">
      <alignment horizontal="center" vertical="center"/>
    </xf>
    <xf numFmtId="169" fontId="6" fillId="3" borderId="16" xfId="0" applyNumberFormat="1" applyFont="1" applyFill="1" applyBorder="1" applyAlignment="1">
      <alignment horizontal="center" vertical="center"/>
    </xf>
    <xf numFmtId="169" fontId="5" fillId="3" borderId="13" xfId="1" applyNumberFormat="1" applyFont="1" applyFill="1" applyBorder="1" applyAlignment="1">
      <alignment horizontal="center"/>
    </xf>
    <xf numFmtId="169" fontId="5" fillId="3" borderId="16" xfId="1" applyNumberFormat="1" applyFont="1" applyFill="1" applyBorder="1" applyAlignment="1">
      <alignment horizontal="center"/>
    </xf>
    <xf numFmtId="0" fontId="7" fillId="2" borderId="9" xfId="3" applyFont="1" applyBorder="1" applyAlignment="1">
      <alignment horizontal="center" vertical="center"/>
    </xf>
    <xf numFmtId="0" fontId="7" fillId="2" borderId="10" xfId="3" applyFont="1" applyBorder="1" applyAlignment="1">
      <alignment horizontal="center" vertical="center"/>
    </xf>
    <xf numFmtId="0" fontId="7" fillId="2" borderId="8" xfId="3" applyFont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169" fontId="5" fillId="3" borderId="19" xfId="1" applyNumberFormat="1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/>
    </xf>
    <xf numFmtId="9" fontId="0" fillId="0" borderId="6" xfId="2" applyFont="1" applyBorder="1"/>
    <xf numFmtId="9" fontId="0" fillId="0" borderId="0" xfId="2" applyFont="1" applyFill="1" applyBorder="1"/>
    <xf numFmtId="9" fontId="2" fillId="2" borderId="0" xfId="2" applyFont="1" applyFill="1"/>
    <xf numFmtId="0" fontId="4" fillId="4" borderId="4" xfId="0" applyFont="1" applyFill="1" applyBorder="1"/>
    <xf numFmtId="169" fontId="4" fillId="4" borderId="6" xfId="0" applyNumberFormat="1" applyFont="1" applyFill="1" applyBorder="1" applyAlignment="1">
      <alignment horizontal="center"/>
    </xf>
    <xf numFmtId="169" fontId="4" fillId="4" borderId="5" xfId="0" applyNumberFormat="1" applyFont="1" applyFill="1" applyBorder="1" applyAlignment="1">
      <alignment horizontal="center"/>
    </xf>
    <xf numFmtId="0" fontId="2" fillId="2" borderId="7" xfId="3" applyBorder="1"/>
    <xf numFmtId="0" fontId="2" fillId="2" borderId="20" xfId="3" applyBorder="1" applyAlignment="1">
      <alignment horizontal="center" vertical="center"/>
    </xf>
    <xf numFmtId="0" fontId="2" fillId="2" borderId="21" xfId="3" applyBorder="1" applyAlignment="1">
      <alignment horizontal="center" vertical="center"/>
    </xf>
    <xf numFmtId="0" fontId="3" fillId="4" borderId="7" xfId="0" applyFont="1" applyFill="1" applyBorder="1"/>
    <xf numFmtId="0" fontId="3" fillId="4" borderId="22" xfId="0" applyFont="1" applyFill="1" applyBorder="1"/>
    <xf numFmtId="0" fontId="3" fillId="4" borderId="21" xfId="0" applyFont="1" applyFill="1" applyBorder="1" applyAlignment="1">
      <alignment horizontal="center"/>
    </xf>
    <xf numFmtId="0" fontId="3" fillId="4" borderId="23" xfId="0" applyFont="1" applyFill="1" applyBorder="1"/>
    <xf numFmtId="0" fontId="0" fillId="4" borderId="24" xfId="0" applyFill="1" applyBorder="1"/>
    <xf numFmtId="169" fontId="3" fillId="4" borderId="25" xfId="0" applyNumberFormat="1" applyFont="1" applyFill="1" applyBorder="1"/>
    <xf numFmtId="9" fontId="0" fillId="0" borderId="0" xfId="2" applyFont="1" applyBorder="1" applyAlignment="1">
      <alignment horizontal="center"/>
    </xf>
    <xf numFmtId="169" fontId="0" fillId="0" borderId="3" xfId="0" applyNumberFormat="1" applyBorder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Planilha1!$C$33:$C$38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Planilha1!$D$33:$D$38</c:f>
              <c:numCache>
                <c:formatCode>0%</c:formatCode>
                <c:ptCount val="6"/>
                <c:pt idx="0">
                  <c:v>0.32</c:v>
                </c:pt>
                <c:pt idx="1">
                  <c:v>0.4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7-4238-899C-B9261088907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222250</xdr:colOff>
      <xdr:row>26</xdr:row>
      <xdr:rowOff>95250</xdr:rowOff>
    </xdr:from>
    <xdr:to>
      <xdr:col>9</xdr:col>
      <xdr:colOff>476250</xdr:colOff>
      <xdr:row>41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067AC08-A9F0-5A02-A9DF-A4D0DAE78B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7</xdr:col>
      <xdr:colOff>68272</xdr:colOff>
      <xdr:row>7</xdr:row>
      <xdr:rowOff>6350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9E5DF95-DC2E-C8DE-B74B-A88ACD50A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980372" cy="1308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62AE4-9221-40E0-8DB5-9C9D214B22FE}">
  <dimension ref="B1:K39"/>
  <sheetViews>
    <sheetView showGridLines="0" tabSelected="1" topLeftCell="B1" workbookViewId="0">
      <selection activeCell="G20" sqref="G20"/>
    </sheetView>
  </sheetViews>
  <sheetFormatPr defaultColWidth="0" defaultRowHeight="14.5"/>
  <cols>
    <col min="1" max="1" width="8.7265625" hidden="1"/>
    <col min="2" max="2" width="8.7265625" customWidth="1"/>
    <col min="3" max="3" width="30.81640625" bestFit="1" customWidth="1"/>
    <col min="4" max="4" width="24.453125" customWidth="1"/>
    <col min="5" max="5" width="15.1796875" customWidth="1"/>
    <col min="6" max="6" width="22.453125" bestFit="1" customWidth="1"/>
    <col min="7" max="7" width="11.6328125" bestFit="1" customWidth="1"/>
    <col min="8" max="11" width="8.7265625" customWidth="1"/>
    <col min="12" max="16384" width="8.7265625" hidden="1"/>
  </cols>
  <sheetData>
    <row r="1" spans="3:5" ht="15" customHeight="1"/>
    <row r="2" spans="3:5" ht="14.5" customHeight="1"/>
    <row r="3" spans="3:5" ht="14.5" customHeight="1"/>
    <row r="4" spans="3:5" ht="15" customHeight="1"/>
    <row r="8" spans="3:5" ht="15" thickBot="1"/>
    <row r="9" spans="3:5" ht="25.5" thickBot="1">
      <c r="C9" s="35" t="s">
        <v>10</v>
      </c>
      <c r="D9" s="36"/>
      <c r="E9" s="37"/>
    </row>
    <row r="10" spans="3:5" ht="15.5">
      <c r="C10" s="21" t="s">
        <v>12</v>
      </c>
      <c r="D10" s="22"/>
      <c r="E10" s="25">
        <v>4200</v>
      </c>
    </row>
    <row r="11" spans="3:5" ht="15.5">
      <c r="C11" s="11" t="s">
        <v>11</v>
      </c>
      <c r="D11" s="8"/>
      <c r="E11" s="26">
        <v>6.0000000000000001E-3</v>
      </c>
    </row>
    <row r="12" spans="3:5" ht="16" thickBot="1">
      <c r="C12" s="17" t="s">
        <v>35</v>
      </c>
      <c r="D12" s="18"/>
      <c r="E12" s="27">
        <f>salario*30%</f>
        <v>1260</v>
      </c>
    </row>
    <row r="13" spans="3:5" ht="15" thickBot="1">
      <c r="C13" s="6"/>
      <c r="D13" s="6"/>
      <c r="E13" s="6"/>
    </row>
    <row r="14" spans="3:5" ht="25.5" thickBot="1">
      <c r="C14" s="38" t="s">
        <v>2</v>
      </c>
      <c r="D14" s="39"/>
      <c r="E14" s="40"/>
    </row>
    <row r="15" spans="3:5" ht="15.5">
      <c r="C15" s="21" t="s">
        <v>13</v>
      </c>
      <c r="D15" s="22"/>
      <c r="E15" s="28">
        <v>1260</v>
      </c>
    </row>
    <row r="16" spans="3:5" ht="15.5">
      <c r="C16" s="11" t="s">
        <v>14</v>
      </c>
      <c r="D16" s="8"/>
      <c r="E16" s="29">
        <v>10</v>
      </c>
    </row>
    <row r="17" spans="2:5" ht="15.5">
      <c r="C17" s="11" t="s">
        <v>15</v>
      </c>
      <c r="D17" s="8"/>
      <c r="E17" s="30">
        <v>1.0789999999999999E-2</v>
      </c>
    </row>
    <row r="18" spans="2:5" ht="15.5">
      <c r="C18" s="12" t="s">
        <v>0</v>
      </c>
      <c r="D18" s="9"/>
      <c r="E18" s="31">
        <f>FV(taxa_mensal,qtd_anos*12,aporte*-1)</f>
        <v>306538.10778801696</v>
      </c>
    </row>
    <row r="19" spans="2:5" ht="16" thickBot="1">
      <c r="C19" s="13" t="s">
        <v>1</v>
      </c>
      <c r="D19" s="14"/>
      <c r="E19" s="32">
        <f>patrimonio*rendimento_carteira</f>
        <v>1839.2286467281017</v>
      </c>
    </row>
    <row r="20" spans="2:5" ht="15" thickBot="1">
      <c r="C20" s="6"/>
      <c r="D20" s="7"/>
      <c r="E20" s="6"/>
    </row>
    <row r="21" spans="2:5" ht="25.5" thickBot="1">
      <c r="C21" s="38" t="s">
        <v>8</v>
      </c>
      <c r="D21" s="40"/>
      <c r="E21" s="42" t="s">
        <v>9</v>
      </c>
    </row>
    <row r="22" spans="2:5" ht="15.5">
      <c r="B22" s="2">
        <v>2</v>
      </c>
      <c r="C22" s="23" t="s">
        <v>3</v>
      </c>
      <c r="D22" s="24">
        <f>FV($E$17,$B22*12,$E$15*-1)</f>
        <v>34306.810395032975</v>
      </c>
      <c r="E22" s="41">
        <f>D22*rendimento_carteira</f>
        <v>205.84086237019787</v>
      </c>
    </row>
    <row r="23" spans="2:5" ht="15.5">
      <c r="B23" s="2">
        <v>5</v>
      </c>
      <c r="C23" s="15" t="s">
        <v>4</v>
      </c>
      <c r="D23" s="10">
        <f>FV($E$17,$B23*12,$E$15*-1)</f>
        <v>105558.91163809443</v>
      </c>
      <c r="E23" s="33">
        <f>D23*rendimento_carteira</f>
        <v>633.35346982856663</v>
      </c>
    </row>
    <row r="24" spans="2:5" ht="15.5">
      <c r="B24" s="2">
        <v>10</v>
      </c>
      <c r="C24" s="15" t="s">
        <v>5</v>
      </c>
      <c r="D24" s="10">
        <f>FV($E$17,$B24*12,$E$15*-1)</f>
        <v>306538.10778801696</v>
      </c>
      <c r="E24" s="33">
        <f>D24*rendimento_carteira</f>
        <v>1839.2286467281017</v>
      </c>
    </row>
    <row r="25" spans="2:5" ht="15.5">
      <c r="B25" s="2">
        <v>20</v>
      </c>
      <c r="C25" s="15" t="s">
        <v>6</v>
      </c>
      <c r="D25" s="10">
        <f>FV($E$17,$B25*12,$E$15*-1)</f>
        <v>1417749.9841223215</v>
      </c>
      <c r="E25" s="33">
        <f>D25*rendimento_carteira</f>
        <v>8506.4999047339297</v>
      </c>
    </row>
    <row r="26" spans="2:5" ht="16" thickBot="1">
      <c r="B26" s="2">
        <v>30</v>
      </c>
      <c r="C26" s="19" t="s">
        <v>7</v>
      </c>
      <c r="D26" s="20">
        <f>FV($E$17,$B26*12,$E$15*-1)</f>
        <v>5445933.7653059401</v>
      </c>
      <c r="E26" s="34">
        <f>D26*rendimento_carteira</f>
        <v>32675.602591835643</v>
      </c>
    </row>
    <row r="27" spans="2:5">
      <c r="B27" s="2"/>
    </row>
    <row r="28" spans="2:5" ht="15" thickBot="1"/>
    <row r="29" spans="2:5">
      <c r="C29" s="50" t="s">
        <v>18</v>
      </c>
      <c r="D29" s="51" t="s">
        <v>33</v>
      </c>
      <c r="E29" s="52"/>
    </row>
    <row r="30" spans="2:5" ht="15" thickBot="1">
      <c r="C30" s="47" t="s">
        <v>19</v>
      </c>
      <c r="D30" s="48">
        <f>aporte</f>
        <v>1260</v>
      </c>
      <c r="E30" s="49"/>
    </row>
    <row r="31" spans="2:5" ht="15" thickBot="1">
      <c r="D31" s="1"/>
      <c r="E31" s="1"/>
    </row>
    <row r="32" spans="2:5">
      <c r="C32" s="53" t="s">
        <v>20</v>
      </c>
      <c r="D32" s="54" t="s">
        <v>27</v>
      </c>
      <c r="E32" s="55" t="s">
        <v>29</v>
      </c>
    </row>
    <row r="33" spans="3:5">
      <c r="C33" s="3" t="s">
        <v>21</v>
      </c>
      <c r="D33" s="59">
        <f>VLOOKUP($D$29&amp;"-"&amp;C33,Planilha2!$A$3:$D$21,4,FALSE)</f>
        <v>0.32</v>
      </c>
      <c r="E33" s="60">
        <f>D33*$D$30</f>
        <v>403.2</v>
      </c>
    </row>
    <row r="34" spans="3:5">
      <c r="C34" s="3" t="s">
        <v>22</v>
      </c>
      <c r="D34" s="59">
        <f>VLOOKUP($D$29&amp;"-"&amp;C34,Planilha2!$A$3:$D$21,4,FALSE)</f>
        <v>0.4</v>
      </c>
      <c r="E34" s="60">
        <f t="shared" ref="E34:E38" si="0">D34*$D$30</f>
        <v>504</v>
      </c>
    </row>
    <row r="35" spans="3:5">
      <c r="C35" s="3" t="s">
        <v>23</v>
      </c>
      <c r="D35" s="59">
        <f>VLOOKUP($D$29&amp;"-"&amp;C35,Planilha2!$A$3:$D$21,4,FALSE)</f>
        <v>7.0000000000000007E-2</v>
      </c>
      <c r="E35" s="60">
        <f t="shared" si="0"/>
        <v>88.2</v>
      </c>
    </row>
    <row r="36" spans="3:5">
      <c r="C36" s="3" t="s">
        <v>24</v>
      </c>
      <c r="D36" s="59">
        <f>VLOOKUP($D$29&amp;"-"&amp;C36,Planilha2!$A$3:$D$21,4,FALSE)</f>
        <v>7.0000000000000007E-2</v>
      </c>
      <c r="E36" s="60">
        <f t="shared" si="0"/>
        <v>88.2</v>
      </c>
    </row>
    <row r="37" spans="3:5">
      <c r="C37" s="3" t="s">
        <v>25</v>
      </c>
      <c r="D37" s="59">
        <f>VLOOKUP($D$29&amp;"-"&amp;C37,Planilha2!$A$3:$D$21,4,FALSE)</f>
        <v>7.0000000000000007E-2</v>
      </c>
      <c r="E37" s="60">
        <f t="shared" si="0"/>
        <v>88.2</v>
      </c>
    </row>
    <row r="38" spans="3:5">
      <c r="C38" s="3" t="s">
        <v>26</v>
      </c>
      <c r="D38" s="59">
        <f>VLOOKUP($D$29&amp;"-"&amp;C38,Planilha2!$A$3:$D$21,4,FALSE)</f>
        <v>7.0000000000000007E-2</v>
      </c>
      <c r="E38" s="60">
        <f t="shared" si="0"/>
        <v>88.2</v>
      </c>
    </row>
    <row r="39" spans="3:5" ht="15" thickBot="1">
      <c r="C39" s="56" t="s">
        <v>30</v>
      </c>
      <c r="D39" s="57"/>
      <c r="E39" s="58">
        <f>SUM(E33:E38)</f>
        <v>1260.0000000000002</v>
      </c>
    </row>
  </sheetData>
  <mergeCells count="13">
    <mergeCell ref="D29:E29"/>
    <mergeCell ref="D30:E30"/>
    <mergeCell ref="C12:D12"/>
    <mergeCell ref="C15:D15"/>
    <mergeCell ref="C17:D17"/>
    <mergeCell ref="C18:D18"/>
    <mergeCell ref="C19:D19"/>
    <mergeCell ref="C16:D16"/>
    <mergeCell ref="C21:D21"/>
    <mergeCell ref="C14:E14"/>
    <mergeCell ref="C9:E9"/>
    <mergeCell ref="C10:D10"/>
    <mergeCell ref="C11:D11"/>
  </mergeCells>
  <dataValidations count="1">
    <dataValidation type="list" allowBlank="1" showInputMessage="1" showErrorMessage="1" sqref="D29" xr:uid="{E2E98845-39E4-4EF4-8623-F527E61F5D63}">
      <formula1>"Conservado,Moderado,Agressivo"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4E56C-7011-4B89-A43D-A4D78ED2DE11}">
  <dimension ref="A3:I21"/>
  <sheetViews>
    <sheetView workbookViewId="0">
      <selection activeCell="B5" sqref="B4:B9"/>
    </sheetView>
  </sheetViews>
  <sheetFormatPr defaultRowHeight="14.5"/>
  <cols>
    <col min="1" max="1" width="29.26953125" bestFit="1" customWidth="1"/>
    <col min="2" max="2" width="11.453125" bestFit="1" customWidth="1"/>
    <col min="3" max="4" width="17.7265625" bestFit="1" customWidth="1"/>
    <col min="7" max="7" width="16.08984375" bestFit="1" customWidth="1"/>
  </cols>
  <sheetData>
    <row r="3" spans="1:9">
      <c r="A3" t="s">
        <v>32</v>
      </c>
      <c r="B3" t="s">
        <v>16</v>
      </c>
      <c r="C3" s="43" t="s">
        <v>20</v>
      </c>
      <c r="D3" s="43" t="s">
        <v>31</v>
      </c>
    </row>
    <row r="4" spans="1:9">
      <c r="A4" t="str">
        <f>B4&amp;"-"&amp;C4</f>
        <v>Conservado-PAPEL</v>
      </c>
      <c r="B4" t="s">
        <v>28</v>
      </c>
      <c r="C4" t="s">
        <v>21</v>
      </c>
      <c r="D4" s="5">
        <v>0.3</v>
      </c>
    </row>
    <row r="5" spans="1:9">
      <c r="A5" t="str">
        <f t="shared" ref="A5:A21" si="0">B5&amp;"-"&amp;C5</f>
        <v>Conservado-TIJOLO</v>
      </c>
      <c r="B5" t="s">
        <v>28</v>
      </c>
      <c r="C5" t="s">
        <v>22</v>
      </c>
      <c r="D5" s="5">
        <v>0.5</v>
      </c>
      <c r="H5" t="s">
        <v>31</v>
      </c>
    </row>
    <row r="6" spans="1:9">
      <c r="A6" t="str">
        <f t="shared" si="0"/>
        <v>Conservado-HÍBRIDOS</v>
      </c>
      <c r="B6" t="s">
        <v>28</v>
      </c>
      <c r="C6" t="s">
        <v>23</v>
      </c>
      <c r="D6" s="5">
        <v>0.1</v>
      </c>
      <c r="G6" s="4" t="s">
        <v>34</v>
      </c>
      <c r="H6" s="46">
        <f>VLOOKUP(G6,A4:$D$21,4,)</f>
        <v>0.4</v>
      </c>
      <c r="I6" s="4"/>
    </row>
    <row r="7" spans="1:9">
      <c r="A7" t="str">
        <f t="shared" si="0"/>
        <v>Conservado-FOFs</v>
      </c>
      <c r="B7" t="s">
        <v>28</v>
      </c>
      <c r="C7" t="s">
        <v>24</v>
      </c>
      <c r="D7" s="5">
        <v>0.1</v>
      </c>
    </row>
    <row r="8" spans="1:9">
      <c r="A8" t="str">
        <f t="shared" si="0"/>
        <v>Conservado-DESENVOLVIMENTO</v>
      </c>
      <c r="B8" t="s">
        <v>28</v>
      </c>
      <c r="C8" t="s">
        <v>25</v>
      </c>
      <c r="D8" s="5">
        <v>0</v>
      </c>
    </row>
    <row r="9" spans="1:9" ht="15" thickBot="1">
      <c r="A9" s="16" t="str">
        <f t="shared" si="0"/>
        <v>Conservado-HOTELARIA</v>
      </c>
      <c r="B9" t="s">
        <v>28</v>
      </c>
      <c r="C9" s="16" t="s">
        <v>26</v>
      </c>
      <c r="D9" s="44">
        <v>0</v>
      </c>
    </row>
    <row r="10" spans="1:9">
      <c r="A10" t="str">
        <f t="shared" si="0"/>
        <v>Moderado-PAPEL</v>
      </c>
      <c r="B10" t="s">
        <v>33</v>
      </c>
      <c r="C10" t="s">
        <v>21</v>
      </c>
      <c r="D10" s="45">
        <v>0.32</v>
      </c>
    </row>
    <row r="11" spans="1:9">
      <c r="A11" t="str">
        <f t="shared" si="0"/>
        <v>Moderado-TIJOLO</v>
      </c>
      <c r="B11" t="s">
        <v>33</v>
      </c>
      <c r="C11" t="s">
        <v>22</v>
      </c>
      <c r="D11" s="45">
        <v>0.4</v>
      </c>
    </row>
    <row r="12" spans="1:9">
      <c r="A12" t="str">
        <f t="shared" si="0"/>
        <v>Moderado-HÍBRIDOS</v>
      </c>
      <c r="B12" t="s">
        <v>33</v>
      </c>
      <c r="C12" t="s">
        <v>23</v>
      </c>
      <c r="D12" s="45">
        <v>7.0000000000000007E-2</v>
      </c>
    </row>
    <row r="13" spans="1:9">
      <c r="A13" t="str">
        <f t="shared" si="0"/>
        <v>Moderado-FOFs</v>
      </c>
      <c r="B13" t="s">
        <v>33</v>
      </c>
      <c r="C13" t="s">
        <v>24</v>
      </c>
      <c r="D13" s="45">
        <v>7.0000000000000007E-2</v>
      </c>
    </row>
    <row r="14" spans="1:9">
      <c r="A14" s="6" t="str">
        <f t="shared" si="0"/>
        <v>Moderado-DESENVOLVIMENTO</v>
      </c>
      <c r="B14" s="6" t="s">
        <v>33</v>
      </c>
      <c r="C14" s="6" t="s">
        <v>25</v>
      </c>
      <c r="D14" s="45">
        <v>7.0000000000000007E-2</v>
      </c>
    </row>
    <row r="15" spans="1:9" ht="15" thickBot="1">
      <c r="A15" s="16" t="str">
        <f t="shared" si="0"/>
        <v>Moderado-HOTELARIA</v>
      </c>
      <c r="B15" s="16" t="s">
        <v>33</v>
      </c>
      <c r="C15" s="16" t="s">
        <v>26</v>
      </c>
      <c r="D15" s="44">
        <v>7.0000000000000007E-2</v>
      </c>
    </row>
    <row r="16" spans="1:9">
      <c r="A16" t="str">
        <f t="shared" si="0"/>
        <v>Agressivo-PAPEL</v>
      </c>
      <c r="B16" t="s">
        <v>17</v>
      </c>
      <c r="C16" t="s">
        <v>21</v>
      </c>
      <c r="D16" s="5">
        <v>0.5</v>
      </c>
    </row>
    <row r="17" spans="1:4">
      <c r="A17" t="str">
        <f t="shared" si="0"/>
        <v>Agressivo-TIJOLO</v>
      </c>
      <c r="B17" t="s">
        <v>17</v>
      </c>
      <c r="C17" t="s">
        <v>22</v>
      </c>
      <c r="D17" s="45">
        <v>0.1</v>
      </c>
    </row>
    <row r="18" spans="1:4">
      <c r="A18" t="str">
        <f t="shared" si="0"/>
        <v>Agressivo-HÍBRIDOS</v>
      </c>
      <c r="B18" t="s">
        <v>17</v>
      </c>
      <c r="C18" t="s">
        <v>23</v>
      </c>
      <c r="D18" s="45">
        <v>0.05</v>
      </c>
    </row>
    <row r="19" spans="1:4">
      <c r="A19" t="str">
        <f t="shared" si="0"/>
        <v>Agressivo-FOFs</v>
      </c>
      <c r="B19" t="s">
        <v>17</v>
      </c>
      <c r="C19" t="s">
        <v>24</v>
      </c>
      <c r="D19" s="45">
        <v>0.05</v>
      </c>
    </row>
    <row r="20" spans="1:4">
      <c r="A20" t="str">
        <f t="shared" si="0"/>
        <v>Agressivo-DESENVOLVIMENTO</v>
      </c>
      <c r="B20" t="s">
        <v>17</v>
      </c>
      <c r="C20" t="s">
        <v>25</v>
      </c>
      <c r="D20" s="45">
        <v>0.2</v>
      </c>
    </row>
    <row r="21" spans="1:4">
      <c r="A21" t="str">
        <f t="shared" si="0"/>
        <v>Agressivo-HOTELARIA</v>
      </c>
      <c r="B21" t="s">
        <v>17</v>
      </c>
      <c r="C21" t="s">
        <v>26</v>
      </c>
      <c r="D21" s="45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Cunha</dc:creator>
  <cp:lastModifiedBy>Diego Cunha</cp:lastModifiedBy>
  <dcterms:created xsi:type="dcterms:W3CDTF">2026-10-18T20:29:37Z</dcterms:created>
  <dcterms:modified xsi:type="dcterms:W3CDTF">2026-10-18T22:30:02Z</dcterms:modified>
</cp:coreProperties>
</file>